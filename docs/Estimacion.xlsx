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Desarrollos\paysandu-gestion-baby\docs\"/>
    </mc:Choice>
  </mc:AlternateContent>
  <xr:revisionPtr revIDLastSave="0" documentId="13_ncr:1_{5CEE5165-634F-4F22-AE6E-DAE427EE471E}" xr6:coauthVersionLast="47" xr6:coauthVersionMax="47" xr10:uidLastSave="{00000000-0000-0000-0000-000000000000}"/>
  <bookViews>
    <workbookView xWindow="-135" yWindow="-135" windowWidth="29070" windowHeight="15750" xr2:uid="{2A1F74DB-281B-42A6-B1CB-9D45707DD6B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1" l="1"/>
  <c r="R24" i="1"/>
  <c r="R23" i="1"/>
  <c r="R22" i="1"/>
  <c r="R14" i="1"/>
  <c r="R16" i="1" s="1"/>
  <c r="R19" i="1" s="1"/>
  <c r="T9" i="1"/>
  <c r="Q32" i="1"/>
  <c r="S32" i="1"/>
  <c r="O35" i="1"/>
  <c r="O34" i="1"/>
  <c r="O33" i="1"/>
  <c r="K33" i="1"/>
  <c r="J32" i="1"/>
  <c r="L21" i="1"/>
  <c r="L20" i="1"/>
  <c r="K19" i="1"/>
  <c r="K20" i="1" s="1"/>
  <c r="G20" i="1"/>
  <c r="G19" i="1"/>
  <c r="G18" i="1"/>
  <c r="G17" i="1"/>
  <c r="G16" i="1"/>
  <c r="G15" i="1"/>
  <c r="G14" i="1"/>
  <c r="O18" i="1"/>
  <c r="N18" i="1"/>
  <c r="O8" i="1"/>
  <c r="O7" i="1"/>
  <c r="O6" i="1"/>
  <c r="O5" i="1"/>
  <c r="N7" i="1"/>
  <c r="N6" i="1"/>
  <c r="F7" i="1"/>
  <c r="G7" i="1" s="1"/>
  <c r="I7" i="1" s="1"/>
  <c r="K7" i="1" s="1"/>
  <c r="G6" i="1"/>
  <c r="I6" i="1" s="1"/>
  <c r="K6" i="1" s="1"/>
  <c r="F6" i="1"/>
  <c r="N5" i="1"/>
  <c r="K5" i="1"/>
  <c r="I5" i="1"/>
  <c r="G5" i="1"/>
  <c r="F5" i="1"/>
  <c r="I35" i="2"/>
  <c r="K35" i="2" s="1"/>
  <c r="K32" i="2"/>
  <c r="M32" i="2" s="1"/>
  <c r="N32" i="2" s="1"/>
  <c r="O32" i="2" s="1"/>
  <c r="H32" i="2"/>
  <c r="H33" i="2" s="1"/>
  <c r="K29" i="2"/>
  <c r="O23" i="2" s="1"/>
  <c r="P23" i="2" s="1"/>
  <c r="O25" i="2"/>
  <c r="P25" i="2" s="1"/>
  <c r="N25" i="2"/>
  <c r="O24" i="2"/>
  <c r="P24" i="2" s="1"/>
  <c r="N24" i="2"/>
  <c r="N23" i="2"/>
  <c r="D21" i="2"/>
  <c r="E21" i="2" s="1"/>
  <c r="D20" i="2"/>
  <c r="E20" i="2" s="1"/>
  <c r="D19" i="2"/>
  <c r="E19" i="2" s="1"/>
  <c r="D18" i="2"/>
  <c r="E18" i="2" s="1"/>
  <c r="D16" i="2"/>
  <c r="F16" i="2" s="1"/>
  <c r="G16" i="2" s="1"/>
  <c r="J14" i="2"/>
  <c r="J15" i="2" s="1"/>
  <c r="N9" i="2"/>
  <c r="N14" i="2" s="1"/>
  <c r="J8" i="2"/>
  <c r="D8" i="2"/>
  <c r="F8" i="2" s="1"/>
  <c r="G8" i="2" s="1"/>
  <c r="N8" i="2" s="1"/>
  <c r="N13" i="2" s="1"/>
  <c r="N16" i="2" s="1"/>
  <c r="F3" i="2"/>
  <c r="P35" i="1" l="1"/>
  <c r="Q35" i="1" s="1"/>
  <c r="P34" i="1"/>
  <c r="Q34" i="1" s="1"/>
  <c r="P33" i="1"/>
  <c r="Q33" i="1" s="1"/>
</calcChain>
</file>

<file path=xl/sharedStrings.xml><?xml version="1.0" encoding="utf-8"?>
<sst xmlns="http://schemas.openxmlformats.org/spreadsheetml/2006/main" count="101" uniqueCount="85">
  <si>
    <t>$/usd</t>
  </si>
  <si>
    <t>Baby</t>
  </si>
  <si>
    <t>Usuarios</t>
  </si>
  <si>
    <t>cuota mensual</t>
  </si>
  <si>
    <t>cuota anual</t>
  </si>
  <si>
    <t>Rifas y otros</t>
  </si>
  <si>
    <t>Total $</t>
  </si>
  <si>
    <t>Total usd</t>
  </si>
  <si>
    <t>Venta de Software a Liga Baby</t>
  </si>
  <si>
    <t>Total, usd</t>
  </si>
  <si>
    <t>Formularios</t>
  </si>
  <si>
    <t>Total usuarios</t>
  </si>
  <si>
    <t>Comité de Disciplina</t>
  </si>
  <si>
    <t>Cantinas</t>
  </si>
  <si>
    <t>Listados cuadros / Vencimientos</t>
  </si>
  <si>
    <t>Listados tecnicos / Vencimientos</t>
  </si>
  <si>
    <t>% mercado</t>
  </si>
  <si>
    <t>Listado delegados / Vencimientos</t>
  </si>
  <si>
    <t>Total mercado usd</t>
  </si>
  <si>
    <t>Evaluaciones / Encuestas</t>
  </si>
  <si>
    <t>Liga Universitaria</t>
  </si>
  <si>
    <t>Total mercado usuarios</t>
  </si>
  <si>
    <t>Resumen Habilitados / titulares / cambios</t>
  </si>
  <si>
    <t>Tasa adm</t>
  </si>
  <si>
    <t>Tablas posiciones / cruces con datos</t>
  </si>
  <si>
    <t>Beneficio anual</t>
  </si>
  <si>
    <t>Mayor</t>
  </si>
  <si>
    <t xml:space="preserve"> + ventas de publicidad dirigiga</t>
  </si>
  <si>
    <t>Reserva</t>
  </si>
  <si>
    <t xml:space="preserve"> + ventas de info asociada a ligas</t>
  </si>
  <si>
    <t>Senior</t>
  </si>
  <si>
    <t>Sub 20</t>
  </si>
  <si>
    <t>Inv</t>
  </si>
  <si>
    <t>Ret</t>
  </si>
  <si>
    <t xml:space="preserve">Materiales </t>
  </si>
  <si>
    <t>Arquitecto</t>
  </si>
  <si>
    <t>$</t>
  </si>
  <si>
    <t>Adm</t>
  </si>
  <si>
    <t>Gestión ligas</t>
  </si>
  <si>
    <t>Resumen club</t>
  </si>
  <si>
    <t>Calendarios</t>
  </si>
  <si>
    <t>Venta</t>
  </si>
  <si>
    <t>Resumen categoría</t>
  </si>
  <si>
    <t>Partidos</t>
  </si>
  <si>
    <t>Inversion</t>
  </si>
  <si>
    <t>Gestión cuotas</t>
  </si>
  <si>
    <t>Amistosos</t>
  </si>
  <si>
    <t>Retorno</t>
  </si>
  <si>
    <t>Gestión documentos</t>
  </si>
  <si>
    <t>Gestión beneficios</t>
  </si>
  <si>
    <t>Resumen por categoría</t>
  </si>
  <si>
    <t>usd/bit</t>
  </si>
  <si>
    <t>Resumen cuadro</t>
  </si>
  <si>
    <t>0.00259103</t>
  </si>
  <si>
    <t>Sector</t>
  </si>
  <si>
    <t>Otros</t>
  </si>
  <si>
    <t>Cantidad</t>
  </si>
  <si>
    <t>Meses</t>
  </si>
  <si>
    <t>Anual $</t>
  </si>
  <si>
    <t>Anual usd</t>
  </si>
  <si>
    <t>Cuota mensual, $</t>
  </si>
  <si>
    <t>%</t>
  </si>
  <si>
    <t>Ingreso</t>
  </si>
  <si>
    <t>Total</t>
  </si>
  <si>
    <t>Mercado, usd año</t>
  </si>
  <si>
    <t>Total año</t>
  </si>
  <si>
    <t>Ingreso por usuario anual, $</t>
  </si>
  <si>
    <t>I 17</t>
  </si>
  <si>
    <t>I 15</t>
  </si>
  <si>
    <t>Sub 13</t>
  </si>
  <si>
    <t>clubes</t>
  </si>
  <si>
    <t>MS</t>
  </si>
  <si>
    <t>Clubes objetivos</t>
  </si>
  <si>
    <t>niños / club</t>
  </si>
  <si>
    <t>Total niños</t>
  </si>
  <si>
    <t>$/niño/año</t>
  </si>
  <si>
    <t>$/sud</t>
  </si>
  <si>
    <t>ingreso anual</t>
  </si>
  <si>
    <t>Cuota media</t>
  </si>
  <si>
    <t>Total anual / niño</t>
  </si>
  <si>
    <t>Facturacion $</t>
  </si>
  <si>
    <t>Facturación usd</t>
  </si>
  <si>
    <t>$ compra</t>
  </si>
  <si>
    <t>Costos</t>
  </si>
  <si>
    <t>Venta de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</si>
</sst>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3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  <xf numFmtId="165" fontId="0" fillId="0" borderId="0" xfId="1" applyNumberFormat="1" applyFont="1"/>
    <xf numFmtId="9" fontId="0" fillId="0" borderId="0" xfId="2" applyFont="1"/>
    <xf numFmtId="10" fontId="0" fillId="0" borderId="0" xfId="2" applyNumberFormat="1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0" fontId="0" fillId="0" borderId="0" xfId="0" applyNumberFormat="1"/>
    <xf numFmtId="9" fontId="0" fillId="0" borderId="1" xfId="0" applyNumberFormat="1" applyBorder="1"/>
    <xf numFmtId="10" fontId="0" fillId="0" borderId="1" xfId="0" applyNumberFormat="1" applyBorder="1"/>
    <xf numFmtId="0" fontId="0" fillId="2" borderId="0" xfId="0" applyFill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9" fontId="0" fillId="0" borderId="3" xfId="2" applyFont="1" applyBorder="1" applyAlignment="1">
      <alignment horizontal="center"/>
    </xf>
    <xf numFmtId="0" fontId="0" fillId="0" borderId="0" xfId="0" applyBorder="1"/>
    <xf numFmtId="9" fontId="0" fillId="0" borderId="0" xfId="0" applyNumberFormat="1" applyBorder="1"/>
    <xf numFmtId="3" fontId="0" fillId="0" borderId="0" xfId="0" applyNumberFormat="1" applyBorder="1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C825-9CA9-4D12-B264-5DD8DFE82DE7}">
  <dimension ref="B1:T36"/>
  <sheetViews>
    <sheetView tabSelected="1" workbookViewId="0">
      <selection activeCell="C24" sqref="C24:F124"/>
    </sheetView>
  </sheetViews>
  <sheetFormatPr baseColWidth="10" defaultRowHeight="15" x14ac:dyDescent="0.25"/>
  <cols>
    <col min="2" max="2" width="16.42578125" bestFit="1" customWidth="1"/>
  </cols>
  <sheetData>
    <row r="1" spans="2:20" x14ac:dyDescent="0.25">
      <c r="B1" t="s">
        <v>0</v>
      </c>
      <c r="C1">
        <v>40</v>
      </c>
    </row>
    <row r="4" spans="2:20" ht="45" x14ac:dyDescent="0.25">
      <c r="B4" s="14" t="s">
        <v>54</v>
      </c>
      <c r="C4" s="14" t="s">
        <v>56</v>
      </c>
      <c r="D4" s="14" t="s">
        <v>60</v>
      </c>
      <c r="E4" s="14" t="s">
        <v>57</v>
      </c>
      <c r="F4" s="14" t="s">
        <v>58</v>
      </c>
      <c r="G4" s="14" t="s">
        <v>59</v>
      </c>
      <c r="H4" s="14" t="s">
        <v>61</v>
      </c>
      <c r="I4" s="14" t="s">
        <v>64</v>
      </c>
      <c r="J4" s="14" t="s">
        <v>61</v>
      </c>
      <c r="K4" s="14" t="s">
        <v>63</v>
      </c>
      <c r="M4" s="15" t="s">
        <v>66</v>
      </c>
      <c r="N4" s="15" t="s">
        <v>56</v>
      </c>
      <c r="O4" s="15" t="s">
        <v>65</v>
      </c>
    </row>
    <row r="5" spans="2:20" x14ac:dyDescent="0.25">
      <c r="B5" s="9" t="s">
        <v>1</v>
      </c>
      <c r="C5" s="10">
        <v>84000</v>
      </c>
      <c r="D5" s="10">
        <v>600</v>
      </c>
      <c r="E5" s="10">
        <v>11</v>
      </c>
      <c r="F5" s="10">
        <f>+E5*D5*C5</f>
        <v>554400000</v>
      </c>
      <c r="G5" s="10">
        <f>+F5/$C$1</f>
        <v>13860000</v>
      </c>
      <c r="H5" s="12">
        <v>0.3</v>
      </c>
      <c r="I5" s="10">
        <f>+H5*G5</f>
        <v>4158000</v>
      </c>
      <c r="J5" s="13">
        <v>2.5999999999999999E-2</v>
      </c>
      <c r="K5" s="10">
        <f>+J5*I5</f>
        <v>108108</v>
      </c>
      <c r="M5" s="10">
        <v>50</v>
      </c>
      <c r="N5" s="10">
        <f>+C5*H5</f>
        <v>25200</v>
      </c>
      <c r="O5" s="10">
        <f>+N5*M5/$C$1</f>
        <v>31500</v>
      </c>
    </row>
    <row r="6" spans="2:20" x14ac:dyDescent="0.25">
      <c r="B6" s="16" t="s">
        <v>20</v>
      </c>
      <c r="C6" s="17">
        <v>8000</v>
      </c>
      <c r="D6" s="10">
        <v>600</v>
      </c>
      <c r="E6" s="10">
        <v>11</v>
      </c>
      <c r="F6" s="10">
        <f>+E6*D6*C6</f>
        <v>52800000</v>
      </c>
      <c r="G6" s="10">
        <f>+F6/$C$1</f>
        <v>1320000</v>
      </c>
      <c r="H6" s="12">
        <v>0.2</v>
      </c>
      <c r="I6" s="10">
        <f>+H6*G6</f>
        <v>264000</v>
      </c>
      <c r="J6" s="13">
        <v>2.5999999999999999E-2</v>
      </c>
      <c r="K6" s="10">
        <f>+J6*I6</f>
        <v>6864</v>
      </c>
      <c r="M6" s="10">
        <v>50</v>
      </c>
      <c r="N6" s="10">
        <f>+C6*H6</f>
        <v>1600</v>
      </c>
      <c r="O6" s="10">
        <f>+N6*M6/$C$1</f>
        <v>2000</v>
      </c>
    </row>
    <row r="7" spans="2:20" x14ac:dyDescent="0.25">
      <c r="B7" s="16" t="s">
        <v>55</v>
      </c>
      <c r="C7" s="17">
        <v>8000</v>
      </c>
      <c r="D7" s="10">
        <v>600</v>
      </c>
      <c r="E7" s="10">
        <v>11</v>
      </c>
      <c r="F7" s="10">
        <f>+E7*D7*C7</f>
        <v>52800000</v>
      </c>
      <c r="G7" s="10">
        <f>+F7/$C$1</f>
        <v>1320000</v>
      </c>
      <c r="H7" s="12">
        <v>0.2</v>
      </c>
      <c r="I7" s="10">
        <f>+H7*G7</f>
        <v>264000</v>
      </c>
      <c r="J7" s="13">
        <v>2.5999999999999999E-2</v>
      </c>
      <c r="K7" s="10">
        <f>+J7*I7</f>
        <v>6864</v>
      </c>
      <c r="M7" s="10">
        <v>50</v>
      </c>
      <c r="N7" s="10">
        <f>+C7*H7</f>
        <v>1600</v>
      </c>
      <c r="O7" s="10">
        <f>+N7*M7/$C$1</f>
        <v>2000</v>
      </c>
      <c r="T7">
        <v>24000</v>
      </c>
    </row>
    <row r="8" spans="2:20" x14ac:dyDescent="0.25">
      <c r="B8" s="8"/>
      <c r="C8" s="1"/>
      <c r="D8" s="1"/>
      <c r="E8" s="1"/>
      <c r="F8" s="1"/>
      <c r="G8" s="1"/>
      <c r="N8" s="16" t="s">
        <v>63</v>
      </c>
      <c r="O8" s="17">
        <f>+SUM(O5:O7)</f>
        <v>35500</v>
      </c>
      <c r="T8">
        <v>1415</v>
      </c>
    </row>
    <row r="9" spans="2:20" x14ac:dyDescent="0.25">
      <c r="B9" s="8"/>
      <c r="C9" s="1"/>
      <c r="D9" s="1"/>
      <c r="E9" s="1"/>
      <c r="F9" s="1"/>
      <c r="G9" s="1"/>
      <c r="T9">
        <f>+T7/T8</f>
        <v>16.96113074204947</v>
      </c>
    </row>
    <row r="10" spans="2:20" x14ac:dyDescent="0.25">
      <c r="B10" s="8"/>
      <c r="C10" s="1"/>
      <c r="D10" s="1"/>
      <c r="E10" s="1"/>
      <c r="F10" s="1"/>
      <c r="G10" s="1"/>
    </row>
    <row r="11" spans="2:20" x14ac:dyDescent="0.25">
      <c r="C11" s="2"/>
      <c r="D11" s="2"/>
      <c r="E11" s="2"/>
      <c r="F11" s="2"/>
      <c r="G11" s="2"/>
    </row>
    <row r="12" spans="2:20" x14ac:dyDescent="0.25">
      <c r="R12" s="21">
        <v>700</v>
      </c>
      <c r="S12" t="s">
        <v>70</v>
      </c>
    </row>
    <row r="13" spans="2:20" x14ac:dyDescent="0.25">
      <c r="F13">
        <v>2026</v>
      </c>
      <c r="R13" s="22">
        <v>0.2</v>
      </c>
      <c r="S13" t="s">
        <v>71</v>
      </c>
    </row>
    <row r="14" spans="2:20" x14ac:dyDescent="0.25">
      <c r="F14">
        <v>6</v>
      </c>
      <c r="G14">
        <f>+$F$13-F14</f>
        <v>2020</v>
      </c>
      <c r="H14">
        <v>15</v>
      </c>
      <c r="I14">
        <v>45</v>
      </c>
      <c r="R14" s="21">
        <f>+R13*R12</f>
        <v>140</v>
      </c>
      <c r="S14" t="s">
        <v>72</v>
      </c>
    </row>
    <row r="15" spans="2:20" x14ac:dyDescent="0.25">
      <c r="F15">
        <v>7</v>
      </c>
      <c r="G15">
        <f>+$F$13-F15</f>
        <v>2019</v>
      </c>
      <c r="H15">
        <v>20</v>
      </c>
      <c r="I15">
        <v>55</v>
      </c>
      <c r="N15" t="s">
        <v>67</v>
      </c>
      <c r="O15" t="s">
        <v>68</v>
      </c>
      <c r="R15" s="21">
        <v>100</v>
      </c>
      <c r="S15" t="s">
        <v>73</v>
      </c>
    </row>
    <row r="16" spans="2:20" x14ac:dyDescent="0.25">
      <c r="F16">
        <v>8</v>
      </c>
      <c r="G16">
        <f>+$F$13-F16</f>
        <v>2018</v>
      </c>
      <c r="H16">
        <v>25</v>
      </c>
      <c r="N16">
        <v>24</v>
      </c>
      <c r="O16">
        <v>24</v>
      </c>
      <c r="R16" s="21">
        <f>+R15*R14</f>
        <v>14000</v>
      </c>
      <c r="S16" t="s">
        <v>74</v>
      </c>
    </row>
    <row r="17" spans="6:20" x14ac:dyDescent="0.25">
      <c r="F17">
        <v>9</v>
      </c>
      <c r="G17">
        <f>+$F$13-F17</f>
        <v>2017</v>
      </c>
      <c r="H17">
        <v>25</v>
      </c>
      <c r="K17">
        <v>2017</v>
      </c>
      <c r="N17">
        <v>1836</v>
      </c>
      <c r="O17">
        <v>1674</v>
      </c>
      <c r="R17" s="21">
        <v>40</v>
      </c>
      <c r="S17" t="s">
        <v>75</v>
      </c>
      <c r="T17" s="24" t="s">
        <v>84</v>
      </c>
    </row>
    <row r="18" spans="6:20" x14ac:dyDescent="0.25">
      <c r="F18">
        <v>10</v>
      </c>
      <c r="G18">
        <f>+$F$13-F18</f>
        <v>2016</v>
      </c>
      <c r="H18">
        <v>25</v>
      </c>
      <c r="K18">
        <v>2026</v>
      </c>
      <c r="N18">
        <f>+N17*N16</f>
        <v>44064</v>
      </c>
      <c r="O18">
        <f>+O17*O16</f>
        <v>40176</v>
      </c>
      <c r="R18" s="21">
        <v>39</v>
      </c>
      <c r="S18" t="s">
        <v>76</v>
      </c>
      <c r="T18" s="24"/>
    </row>
    <row r="19" spans="6:20" x14ac:dyDescent="0.25">
      <c r="F19">
        <v>11</v>
      </c>
      <c r="G19">
        <f>+$F$13-F19</f>
        <v>2015</v>
      </c>
      <c r="H19">
        <v>30</v>
      </c>
      <c r="K19">
        <f>+K18-K17</f>
        <v>9</v>
      </c>
      <c r="R19" s="21">
        <f>+R16*R17/R18</f>
        <v>14358.974358974359</v>
      </c>
      <c r="S19" t="s">
        <v>77</v>
      </c>
      <c r="T19" s="24"/>
    </row>
    <row r="20" spans="6:20" x14ac:dyDescent="0.25">
      <c r="F20">
        <v>12</v>
      </c>
      <c r="G20">
        <f>+$F$13-F20</f>
        <v>2014</v>
      </c>
      <c r="H20">
        <v>30</v>
      </c>
      <c r="K20">
        <f>+K19*0.5</f>
        <v>4.5</v>
      </c>
      <c r="L20">
        <f>3337+1113</f>
        <v>4450</v>
      </c>
      <c r="R20" s="21">
        <v>600</v>
      </c>
      <c r="S20" t="s">
        <v>78</v>
      </c>
    </row>
    <row r="21" spans="6:20" x14ac:dyDescent="0.25">
      <c r="F21">
        <v>13</v>
      </c>
      <c r="G21" t="s">
        <v>69</v>
      </c>
      <c r="H21">
        <v>30</v>
      </c>
      <c r="L21">
        <f>+L20*K20</f>
        <v>20025</v>
      </c>
      <c r="R21" s="21">
        <v>11</v>
      </c>
      <c r="S21" t="s">
        <v>57</v>
      </c>
    </row>
    <row r="22" spans="6:20" x14ac:dyDescent="0.25">
      <c r="R22" s="21">
        <f>+R21*R20</f>
        <v>6600</v>
      </c>
      <c r="S22" t="s">
        <v>79</v>
      </c>
    </row>
    <row r="23" spans="6:20" x14ac:dyDescent="0.25">
      <c r="R23" s="21">
        <f>+R22*R16</f>
        <v>92400000</v>
      </c>
      <c r="S23" t="s">
        <v>80</v>
      </c>
    </row>
    <row r="24" spans="6:20" x14ac:dyDescent="0.25">
      <c r="R24" s="23">
        <f>+R23/R18</f>
        <v>2369230.769230769</v>
      </c>
      <c r="S24" t="s">
        <v>81</v>
      </c>
    </row>
    <row r="25" spans="6:20" x14ac:dyDescent="0.25">
      <c r="R25" s="11">
        <v>5.0000000000000001E-3</v>
      </c>
      <c r="S25" t="s">
        <v>61</v>
      </c>
    </row>
    <row r="26" spans="6:20" x14ac:dyDescent="0.25">
      <c r="R26">
        <f>+R24*R25</f>
        <v>11846.153846153846</v>
      </c>
      <c r="S26" t="s">
        <v>62</v>
      </c>
    </row>
    <row r="31" spans="6:20" x14ac:dyDescent="0.25">
      <c r="N31" s="18" t="s">
        <v>82</v>
      </c>
      <c r="O31" s="18" t="s">
        <v>61</v>
      </c>
      <c r="P31" s="18" t="s">
        <v>83</v>
      </c>
      <c r="Q31" s="18" t="s">
        <v>63</v>
      </c>
    </row>
    <row r="32" spans="6:20" x14ac:dyDescent="0.25">
      <c r="J32">
        <f>143*40</f>
        <v>5720</v>
      </c>
      <c r="N32" s="19">
        <v>4374</v>
      </c>
      <c r="O32" s="18"/>
      <c r="P32" s="19">
        <v>1969</v>
      </c>
      <c r="Q32" s="19">
        <f>+P32+N32</f>
        <v>6343</v>
      </c>
      <c r="S32">
        <f>+SUM(S33:S36)</f>
        <v>1969</v>
      </c>
    </row>
    <row r="33" spans="10:19" x14ac:dyDescent="0.25">
      <c r="J33">
        <v>6490</v>
      </c>
      <c r="K33">
        <f>+J33*0.75</f>
        <v>4867.5</v>
      </c>
      <c r="N33" s="19">
        <v>3144</v>
      </c>
      <c r="O33" s="20">
        <f>+N33/$N$32</f>
        <v>0.71879286694101507</v>
      </c>
      <c r="P33" s="19">
        <f>+O33*$S$32</f>
        <v>1415.3031550068588</v>
      </c>
      <c r="Q33" s="19">
        <f>+P33+N33</f>
        <v>4559.303155006859</v>
      </c>
      <c r="S33">
        <v>254</v>
      </c>
    </row>
    <row r="34" spans="10:19" x14ac:dyDescent="0.25">
      <c r="N34" s="19">
        <v>635</v>
      </c>
      <c r="O34" s="20">
        <f>+N34/$N$32</f>
        <v>0.14517604023776864</v>
      </c>
      <c r="P34" s="19">
        <f>+O34*$S$32</f>
        <v>285.85162322816649</v>
      </c>
      <c r="Q34" s="19">
        <f>+P34+N34</f>
        <v>920.85162322816655</v>
      </c>
      <c r="S34">
        <v>306</v>
      </c>
    </row>
    <row r="35" spans="10:19" x14ac:dyDescent="0.25">
      <c r="N35" s="19">
        <v>593</v>
      </c>
      <c r="O35" s="20">
        <f>+N35/$N$32</f>
        <v>0.13557384545038867</v>
      </c>
      <c r="P35" s="19">
        <f>+O35*$S$32</f>
        <v>266.94490169181529</v>
      </c>
      <c r="Q35" s="19">
        <f>+P35+N35</f>
        <v>859.94490169181529</v>
      </c>
      <c r="S35">
        <v>253</v>
      </c>
    </row>
    <row r="36" spans="10:19" x14ac:dyDescent="0.25">
      <c r="S36">
        <v>1156</v>
      </c>
    </row>
  </sheetData>
  <mergeCells count="1">
    <mergeCell ref="T17:T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7175-3BED-450E-BA44-36B91576D66D}">
  <dimension ref="A1:Q35"/>
  <sheetViews>
    <sheetView workbookViewId="0">
      <selection sqref="A1:XFD1048576"/>
    </sheetView>
  </sheetViews>
  <sheetFormatPr baseColWidth="10" defaultRowHeight="15" x14ac:dyDescent="0.25"/>
  <cols>
    <col min="3" max="3" width="13.85546875" bestFit="1" customWidth="1"/>
    <col min="6" max="6" width="14.7109375" bestFit="1" customWidth="1"/>
    <col min="13" max="13" width="21.7109375" bestFit="1" customWidth="1"/>
  </cols>
  <sheetData>
    <row r="1" spans="2:17" x14ac:dyDescent="0.25">
      <c r="F1" t="s">
        <v>0</v>
      </c>
      <c r="G1">
        <v>42</v>
      </c>
    </row>
    <row r="3" spans="2:17" x14ac:dyDescent="0.25">
      <c r="F3">
        <f>260*3</f>
        <v>780</v>
      </c>
      <c r="J3">
        <v>130</v>
      </c>
    </row>
    <row r="4" spans="2:17" x14ac:dyDescent="0.25">
      <c r="J4">
        <v>130</v>
      </c>
    </row>
    <row r="5" spans="2:17" x14ac:dyDescent="0.25">
      <c r="J5">
        <v>50</v>
      </c>
    </row>
    <row r="6" spans="2:17" x14ac:dyDescent="0.25">
      <c r="B6" t="s">
        <v>1</v>
      </c>
      <c r="J6">
        <v>130</v>
      </c>
    </row>
    <row r="7" spans="2:17" x14ac:dyDescent="0.25"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J7">
        <v>130</v>
      </c>
      <c r="Q7" t="s">
        <v>8</v>
      </c>
    </row>
    <row r="8" spans="2:17" x14ac:dyDescent="0.25">
      <c r="B8" s="1">
        <v>60000</v>
      </c>
      <c r="C8" s="1">
        <v>300</v>
      </c>
      <c r="D8" s="1">
        <f>+C8*12</f>
        <v>3600</v>
      </c>
      <c r="E8" s="1">
        <v>100</v>
      </c>
      <c r="F8" s="1">
        <f>+E8*B8+D8*B8</f>
        <v>222000000</v>
      </c>
      <c r="G8" s="1">
        <f>+F8/$G$1</f>
        <v>5285714.2857142854</v>
      </c>
      <c r="J8">
        <f>+SUM(J3:J7)</f>
        <v>570</v>
      </c>
      <c r="M8" t="s">
        <v>9</v>
      </c>
      <c r="N8" s="2">
        <f>+G8+G16</f>
        <v>5642857.1428571427</v>
      </c>
      <c r="Q8" t="s">
        <v>10</v>
      </c>
    </row>
    <row r="9" spans="2:17" x14ac:dyDescent="0.25">
      <c r="M9" t="s">
        <v>11</v>
      </c>
      <c r="N9" s="2">
        <f>+B8+B16</f>
        <v>66000</v>
      </c>
      <c r="Q9" t="s">
        <v>12</v>
      </c>
    </row>
    <row r="10" spans="2:17" x14ac:dyDescent="0.25">
      <c r="B10" t="s">
        <v>13</v>
      </c>
      <c r="Q10" t="s">
        <v>14</v>
      </c>
    </row>
    <row r="11" spans="2:17" x14ac:dyDescent="0.25">
      <c r="Q11" t="s">
        <v>15</v>
      </c>
    </row>
    <row r="12" spans="2:17" x14ac:dyDescent="0.25">
      <c r="M12" t="s">
        <v>16</v>
      </c>
      <c r="N12" s="3">
        <v>0.5</v>
      </c>
      <c r="Q12" t="s">
        <v>17</v>
      </c>
    </row>
    <row r="13" spans="2:17" x14ac:dyDescent="0.25">
      <c r="M13" t="s">
        <v>18</v>
      </c>
      <c r="N13" s="2">
        <f>+N8*N12</f>
        <v>2821428.5714285714</v>
      </c>
      <c r="Q13" t="s">
        <v>19</v>
      </c>
    </row>
    <row r="14" spans="2:17" x14ac:dyDescent="0.25">
      <c r="B14" t="s">
        <v>20</v>
      </c>
      <c r="J14">
        <f>2400/200</f>
        <v>12</v>
      </c>
      <c r="M14" t="s">
        <v>21</v>
      </c>
      <c r="N14">
        <f>+N12*N9</f>
        <v>33000</v>
      </c>
      <c r="Q14" t="s">
        <v>22</v>
      </c>
    </row>
    <row r="15" spans="2:17" x14ac:dyDescent="0.25"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J15">
        <f>+J14*41</f>
        <v>492</v>
      </c>
      <c r="M15" t="s">
        <v>23</v>
      </c>
      <c r="N15" s="3">
        <v>0.03</v>
      </c>
      <c r="Q15" t="s">
        <v>24</v>
      </c>
    </row>
    <row r="16" spans="2:17" x14ac:dyDescent="0.25">
      <c r="B16" s="1">
        <v>6000</v>
      </c>
      <c r="C16" s="1">
        <v>200</v>
      </c>
      <c r="D16" s="1">
        <f>+C16*12</f>
        <v>2400</v>
      </c>
      <c r="E16" s="1">
        <v>100</v>
      </c>
      <c r="F16" s="1">
        <f>+E16*B16+D16*B16</f>
        <v>15000000</v>
      </c>
      <c r="G16" s="1">
        <f>+F16/$G$1</f>
        <v>357142.85714285716</v>
      </c>
      <c r="M16" t="s">
        <v>25</v>
      </c>
      <c r="N16" s="4">
        <f>+N13*N15</f>
        <v>84642.857142857145</v>
      </c>
    </row>
    <row r="18" spans="1:17" x14ac:dyDescent="0.25">
      <c r="A18" t="s">
        <v>26</v>
      </c>
      <c r="B18">
        <v>16</v>
      </c>
      <c r="C18">
        <v>10</v>
      </c>
      <c r="D18">
        <f>+C18*B18</f>
        <v>160</v>
      </c>
      <c r="E18">
        <f>+D18*15</f>
        <v>2400</v>
      </c>
      <c r="M18" t="s">
        <v>27</v>
      </c>
    </row>
    <row r="19" spans="1:17" x14ac:dyDescent="0.25">
      <c r="A19" t="s">
        <v>28</v>
      </c>
      <c r="B19">
        <v>16</v>
      </c>
      <c r="C19">
        <v>3</v>
      </c>
      <c r="D19">
        <f>+C19*B19</f>
        <v>48</v>
      </c>
      <c r="E19">
        <f>+D19*15</f>
        <v>720</v>
      </c>
      <c r="M19" t="s">
        <v>29</v>
      </c>
    </row>
    <row r="20" spans="1:17" x14ac:dyDescent="0.25">
      <c r="A20" t="s">
        <v>30</v>
      </c>
      <c r="B20">
        <v>16</v>
      </c>
      <c r="C20">
        <v>3</v>
      </c>
      <c r="D20">
        <f>+C20*B20</f>
        <v>48</v>
      </c>
      <c r="E20">
        <f>+D20*15</f>
        <v>720</v>
      </c>
    </row>
    <row r="21" spans="1:17" x14ac:dyDescent="0.25">
      <c r="A21" t="s">
        <v>31</v>
      </c>
      <c r="B21">
        <v>16</v>
      </c>
      <c r="C21">
        <v>3</v>
      </c>
      <c r="D21">
        <f>+C21*B21</f>
        <v>48</v>
      </c>
      <c r="E21">
        <f>+D21*15</f>
        <v>720</v>
      </c>
    </row>
    <row r="22" spans="1:17" x14ac:dyDescent="0.25">
      <c r="N22" t="s">
        <v>32</v>
      </c>
      <c r="O22" t="s">
        <v>33</v>
      </c>
    </row>
    <row r="23" spans="1:17" x14ac:dyDescent="0.25">
      <c r="J23" s="2"/>
      <c r="K23" s="2"/>
      <c r="L23" s="2" t="s">
        <v>34</v>
      </c>
      <c r="M23" s="5">
        <v>0.3</v>
      </c>
      <c r="N23" s="2">
        <f>+M23*$K$28</f>
        <v>36000</v>
      </c>
      <c r="O23" s="2">
        <f>+M23*$K$29</f>
        <v>9000</v>
      </c>
      <c r="P23" s="5">
        <f>+O23/N23</f>
        <v>0.25</v>
      </c>
    </row>
    <row r="24" spans="1:17" x14ac:dyDescent="0.25">
      <c r="J24" s="2"/>
      <c r="K24" s="2"/>
      <c r="L24" s="2" t="s">
        <v>35</v>
      </c>
      <c r="M24" s="5">
        <v>0.1</v>
      </c>
      <c r="N24" s="2">
        <f t="shared" ref="N24:N25" si="0">+M24*$K$28</f>
        <v>12000</v>
      </c>
      <c r="O24" s="2">
        <f>+M24*$K$29</f>
        <v>3000</v>
      </c>
      <c r="P24" s="5">
        <f t="shared" ref="P24:P25" si="1">+O24/N24</f>
        <v>0.25</v>
      </c>
    </row>
    <row r="25" spans="1:17" x14ac:dyDescent="0.25">
      <c r="J25" s="2"/>
      <c r="K25" s="2"/>
      <c r="L25" s="2" t="s">
        <v>36</v>
      </c>
      <c r="M25" s="5">
        <v>0.6</v>
      </c>
      <c r="N25" s="2">
        <f t="shared" si="0"/>
        <v>72000</v>
      </c>
      <c r="O25" s="2">
        <f>+M25*$K$29</f>
        <v>18000</v>
      </c>
      <c r="P25" s="5">
        <f t="shared" si="1"/>
        <v>0.25</v>
      </c>
      <c r="Q25" s="6"/>
    </row>
    <row r="26" spans="1:17" x14ac:dyDescent="0.25">
      <c r="B26" t="s">
        <v>37</v>
      </c>
      <c r="E26" t="s">
        <v>38</v>
      </c>
      <c r="J26" s="2"/>
      <c r="K26" s="2"/>
      <c r="L26" s="2"/>
      <c r="M26" s="2"/>
      <c r="N26" s="2"/>
      <c r="O26" s="2"/>
    </row>
    <row r="27" spans="1:17" x14ac:dyDescent="0.25">
      <c r="B27" t="s">
        <v>39</v>
      </c>
      <c r="E27" t="s">
        <v>40</v>
      </c>
      <c r="J27" s="2" t="s">
        <v>41</v>
      </c>
      <c r="K27" s="2">
        <v>150000</v>
      </c>
      <c r="L27" s="2"/>
      <c r="M27" s="2"/>
      <c r="N27" s="2"/>
      <c r="O27" s="2"/>
    </row>
    <row r="28" spans="1:17" x14ac:dyDescent="0.25">
      <c r="B28" t="s">
        <v>42</v>
      </c>
      <c r="E28" t="s">
        <v>43</v>
      </c>
      <c r="J28" s="2" t="s">
        <v>44</v>
      </c>
      <c r="K28" s="2">
        <v>120000</v>
      </c>
      <c r="L28" s="2"/>
      <c r="M28" s="2"/>
      <c r="N28" s="2"/>
      <c r="O28" s="2"/>
    </row>
    <row r="29" spans="1:17" x14ac:dyDescent="0.25">
      <c r="B29" t="s">
        <v>45</v>
      </c>
      <c r="E29" t="s">
        <v>46</v>
      </c>
      <c r="J29" t="s">
        <v>47</v>
      </c>
      <c r="K29" s="2">
        <f>+K27-K28</f>
        <v>30000</v>
      </c>
    </row>
    <row r="30" spans="1:17" x14ac:dyDescent="0.25">
      <c r="B30" t="s">
        <v>48</v>
      </c>
    </row>
    <row r="31" spans="1:17" x14ac:dyDescent="0.25">
      <c r="B31" t="s">
        <v>49</v>
      </c>
    </row>
    <row r="32" spans="1:17" x14ac:dyDescent="0.25">
      <c r="B32" t="s">
        <v>50</v>
      </c>
      <c r="H32">
        <f>+I32*30</f>
        <v>0.90317639999999999</v>
      </c>
      <c r="I32">
        <v>3.0105880000000002E-2</v>
      </c>
      <c r="J32">
        <v>47000</v>
      </c>
      <c r="K32">
        <f>+J32*I32</f>
        <v>1414.9763600000001</v>
      </c>
      <c r="L32">
        <v>104</v>
      </c>
      <c r="M32">
        <f>+K32/L32</f>
        <v>13.605541923076924</v>
      </c>
      <c r="N32">
        <f>+M32*2</f>
        <v>27.211083846153848</v>
      </c>
      <c r="O32">
        <f>+N32/J32*30</f>
        <v>1.7368776923076926E-2</v>
      </c>
      <c r="P32" t="s">
        <v>51</v>
      </c>
    </row>
    <row r="33" spans="2:11" ht="16.5" x14ac:dyDescent="0.3">
      <c r="B33" t="s">
        <v>52</v>
      </c>
      <c r="H33">
        <f>+H32/104*2</f>
        <v>1.7368776923076923E-2</v>
      </c>
      <c r="I33" s="7" t="s">
        <v>53</v>
      </c>
      <c r="J33">
        <v>47000</v>
      </c>
    </row>
    <row r="34" spans="2:11" x14ac:dyDescent="0.25">
      <c r="I34">
        <v>2.5910299999999998E-3</v>
      </c>
      <c r="J34">
        <v>47000</v>
      </c>
    </row>
    <row r="35" spans="2:11" x14ac:dyDescent="0.25">
      <c r="I35">
        <f>+I34+I32</f>
        <v>3.2696910000000003E-2</v>
      </c>
      <c r="J35">
        <v>47000</v>
      </c>
      <c r="K35">
        <f>+J35*I35</f>
        <v>1536.7547700000002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2026-05-15T14:57:44Z</dcterms:created>
  <dcterms:modified xsi:type="dcterms:W3CDTF">2026-05-22T23:10:46Z</dcterms:modified>
</cp:coreProperties>
</file>